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费率表" sheetId="1" r:id="rId1"/>
    <sheet name="跨境物流计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<sst xmlns="http://schemas.openxmlformats.org/spreadsheetml/2006/main" count="137" uniqueCount="79">
  <si>
    <t>先选择下面站点↓</t>
  </si>
  <si>
    <r>
      <rPr>
        <b/>
        <sz val="12"/>
        <color rgb="FF00A3F5"/>
        <rFont val="Microsoft YaHei"/>
        <charset val="134"/>
      </rPr>
      <t>计算公式：（原价*折扣价）-（原价*折扣价*平台费率）-国际物流成本-货代成本-优惠卷（官方优惠卷或者店铺自己设置优惠卷）-货品成本</t>
    </r>
    <r>
      <rPr>
        <b/>
        <sz val="12"/>
        <color rgb="FF000000"/>
        <rFont val="Microsoft YaHei"/>
        <charset val="134"/>
      </rPr>
      <t xml:space="preserve">
公告：近期泰国站点新增了关税、服饰类目最高30的税率、已经上架的商品可以去调整折扣比例拉高折后价，去抵消关税的成本、新上架的商品可以在妙手定价模版填入对应类目的关税比例，此表默认预填服饰类目30%。</t>
    </r>
  </si>
  <si>
    <t>选择站点→</t>
  </si>
  <si>
    <t>越南=VND</t>
  </si>
  <si>
    <t>注意：切换站点只是改变汇率公式、右边实际内容数值需自己更改填入</t>
  </si>
  <si>
    <t>类型</t>
  </si>
  <si>
    <r>
      <rPr>
        <b/>
        <sz val="10"/>
        <color rgb="FF000000"/>
        <rFont val="Microsoft YaHei"/>
        <charset val="134"/>
      </rPr>
      <t>本地展示价（</t>
    </r>
    <r>
      <rPr>
        <b/>
        <sz val="10"/>
        <color rgb="FFFFFF00"/>
        <rFont val="Microsoft YaHei"/>
        <charset val="134"/>
      </rPr>
      <t>原价</t>
    </r>
    <r>
      <rPr>
        <b/>
        <sz val="10"/>
        <color rgb="FF000000"/>
        <rFont val="Microsoft YaHei"/>
        <charset val="134"/>
      </rPr>
      <t>）</t>
    </r>
    <r>
      <rPr>
        <b/>
        <sz val="10"/>
        <color rgb="FF000000"/>
        <rFont val="Microsoft YaHei"/>
        <charset val="134"/>
      </rPr>
      <t xml:space="preserve">
（在商品管理查看）</t>
    </r>
  </si>
  <si>
    <r>
      <rPr>
        <b/>
        <sz val="10"/>
        <color rgb="FF000000"/>
        <rFont val="Microsoft YaHei"/>
        <charset val="134"/>
      </rPr>
      <t>折扣范围（</t>
    </r>
    <r>
      <rPr>
        <b/>
        <sz val="10"/>
        <color rgb="FFFFFF00"/>
        <rFont val="Microsoft YaHei"/>
        <charset val="134"/>
      </rPr>
      <t>1-10</t>
    </r>
    <r>
      <rPr>
        <b/>
        <sz val="10"/>
        <color rgb="FF000000"/>
        <rFont val="Microsoft YaHei"/>
        <charset val="134"/>
      </rPr>
      <t>）</t>
    </r>
    <r>
      <rPr>
        <b/>
        <sz val="10"/>
        <color rgb="FF000000"/>
        <rFont val="Microsoft YaHei"/>
        <charset val="134"/>
      </rPr>
      <t xml:space="preserve">
(折扣7折则填7）</t>
    </r>
    <r>
      <rPr>
        <b/>
        <sz val="10"/>
        <color rgb="FF000000"/>
        <rFont val="Microsoft YaHei"/>
        <charset val="134"/>
      </rPr>
      <t xml:space="preserve">
（未打折则填10)</t>
    </r>
  </si>
  <si>
    <r>
      <rPr>
        <b/>
        <sz val="10"/>
        <color rgb="FF000000"/>
        <rFont val="Microsoft YaHei"/>
        <charset val="134"/>
      </rPr>
      <t>泰国关税</t>
    </r>
    <r>
      <rPr>
        <b/>
        <sz val="10"/>
        <color rgb="FF000000"/>
        <rFont val="Microsoft YaHei"/>
        <charset val="134"/>
      </rPr>
      <t xml:space="preserve">
（下面</t>
    </r>
    <r>
      <rPr>
        <b/>
        <sz val="10"/>
        <color rgb="FFFFFF00"/>
        <rFont val="Microsoft YaHei"/>
        <charset val="134"/>
      </rPr>
      <t>自动填写</t>
    </r>
    <r>
      <rPr>
        <b/>
        <sz val="10"/>
        <color rgb="FF000000"/>
        <rFont val="Microsoft YaHei"/>
        <charset val="134"/>
      </rPr>
      <t>）</t>
    </r>
    <r>
      <rPr>
        <b/>
        <sz val="10"/>
        <color rgb="FF000000"/>
        <rFont val="Microsoft YaHei"/>
        <charset val="134"/>
      </rPr>
      <t xml:space="preserve">
修改去下面费率列表</t>
    </r>
  </si>
  <si>
    <r>
      <rPr>
        <b/>
        <sz val="10"/>
        <color rgb="FF000000"/>
        <rFont val="Microsoft YaHei"/>
        <charset val="134"/>
      </rPr>
      <t>平台费率</t>
    </r>
    <r>
      <rPr>
        <b/>
        <sz val="10"/>
        <color rgb="FF000000"/>
        <rFont val="Microsoft YaHei"/>
        <charset val="134"/>
      </rPr>
      <t xml:space="preserve">
（下面</t>
    </r>
    <r>
      <rPr>
        <b/>
        <sz val="10"/>
        <color rgb="FFFFFF00"/>
        <rFont val="Microsoft YaHei"/>
        <charset val="134"/>
      </rPr>
      <t>自动填写</t>
    </r>
    <r>
      <rPr>
        <b/>
        <sz val="10"/>
        <color rgb="FF000000"/>
        <rFont val="Microsoft YaHei"/>
        <charset val="134"/>
      </rPr>
      <t>）</t>
    </r>
    <r>
      <rPr>
        <b/>
        <sz val="10"/>
        <color rgb="FF000000"/>
        <rFont val="Microsoft YaHei"/>
        <charset val="134"/>
      </rPr>
      <t xml:space="preserve">
修改去下面费率列表</t>
    </r>
  </si>
  <si>
    <r>
      <rPr>
        <b/>
        <sz val="10"/>
        <color rgb="FF000000"/>
        <rFont val="Microsoft YaHei"/>
        <charset val="134"/>
      </rPr>
      <t>填商品重量（头程运费）（</t>
    </r>
    <r>
      <rPr>
        <b/>
        <sz val="10"/>
        <color rgb="FFFFFF00"/>
        <rFont val="Microsoft YaHei"/>
        <charset val="134"/>
      </rPr>
      <t>单位g</t>
    </r>
    <r>
      <rPr>
        <b/>
        <sz val="10"/>
        <color rgb="FF000000"/>
        <rFont val="Microsoft YaHei"/>
        <charset val="134"/>
      </rPr>
      <t>）1KG=1000g</t>
    </r>
    <r>
      <rPr>
        <b/>
        <sz val="10"/>
        <color rgb="FF000000"/>
        <rFont val="Microsoft YaHei"/>
        <charset val="134"/>
      </rPr>
      <t xml:space="preserve">
1000g=2斤</t>
    </r>
  </si>
  <si>
    <r>
      <rPr>
        <b/>
        <sz val="10"/>
        <color rgb="FF000000"/>
        <rFont val="Microsoft YaHei"/>
        <charset val="134"/>
      </rPr>
      <t>可以加入其他成本</t>
    </r>
    <r>
      <rPr>
        <b/>
        <sz val="10"/>
        <color rgb="FF000000"/>
        <rFont val="Microsoft YaHei"/>
        <charset val="134"/>
      </rPr>
      <t xml:space="preserve">
如货代成本（</t>
    </r>
    <r>
      <rPr>
        <b/>
        <sz val="10"/>
        <color rgb="FFFFFF00"/>
        <rFont val="Microsoft YaHei"/>
        <charset val="134"/>
      </rPr>
      <t>元</t>
    </r>
    <r>
      <rPr>
        <b/>
        <sz val="10"/>
        <color rgb="FF000000"/>
        <rFont val="Microsoft YaHei"/>
        <charset val="134"/>
      </rPr>
      <t>）</t>
    </r>
  </si>
  <si>
    <r>
      <rPr>
        <b/>
        <sz val="10"/>
        <color rgb="FF000000"/>
        <rFont val="Microsoft YaHei"/>
        <charset val="134"/>
      </rPr>
      <t>其他优惠卷或者店铺自己设置优惠卷（</t>
    </r>
    <r>
      <rPr>
        <b/>
        <sz val="10"/>
        <color rgb="FFFFFF00"/>
        <rFont val="Microsoft YaHei"/>
        <charset val="134"/>
      </rPr>
      <t>当地货币</t>
    </r>
    <r>
      <rPr>
        <b/>
        <sz val="10"/>
        <color rgb="FF000000"/>
        <rFont val="Microsoft YaHei"/>
        <charset val="134"/>
      </rPr>
      <t>）</t>
    </r>
  </si>
  <si>
    <r>
      <rPr>
        <b/>
        <sz val="10"/>
        <color rgb="FF000000"/>
        <rFont val="Microsoft YaHei"/>
        <charset val="134"/>
      </rPr>
      <t>货品成本（填</t>
    </r>
    <r>
      <rPr>
        <b/>
        <sz val="10"/>
        <color rgb="FFFFFF00"/>
        <rFont val="Microsoft YaHei"/>
        <charset val="134"/>
      </rPr>
      <t>人民币</t>
    </r>
    <r>
      <rPr>
        <b/>
        <sz val="10"/>
        <color rgb="FF000000"/>
        <rFont val="Microsoft YaHei"/>
        <charset val="134"/>
      </rPr>
      <t>）</t>
    </r>
    <r>
      <rPr>
        <b/>
        <sz val="10"/>
        <color rgb="FF000000"/>
        <rFont val="Microsoft YaHei"/>
        <charset val="134"/>
      </rPr>
      <t xml:space="preserve">
（商品采集价）</t>
    </r>
  </si>
  <si>
    <t>预估利润</t>
  </si>
  <si>
    <t xml:space="preserve"> </t>
  </si>
  <si>
    <t>右边填入数值→</t>
  </si>
  <si>
    <t>人民币</t>
  </si>
  <si>
    <t>折扣</t>
  </si>
  <si>
    <t>V:lichen5728</t>
  </si>
  <si>
    <t>自动转换人民币
（无需填写）→</t>
  </si>
  <si>
    <t>当地站点货币</t>
  </si>
  <si>
    <t>自动转换当地货币
（无需填写）→</t>
  </si>
  <si>
    <r>
      <rPr>
        <b/>
        <sz val="11"/>
        <color rgb="FF000000"/>
        <rFont val="Microsoft YaHei"/>
        <charset val="134"/>
      </rPr>
      <t>请注意：此工具计算预估结果仅做参考，（</t>
    </r>
    <r>
      <rPr>
        <b/>
        <sz val="11"/>
        <color rgb="FFFF0000"/>
        <rFont val="Microsoft YaHei"/>
        <charset val="134"/>
      </rPr>
      <t>因此汇率换算会和实时有差异、物流价卡请留意TK变动、平台佣金以及各种税费会因类目之间不同有不同的占比、请根据所属类目进行调整、以TK最新公告税率为准</t>
    </r>
    <r>
      <rPr>
        <b/>
        <sz val="11"/>
        <color rgb="FF000000"/>
        <rFont val="Microsoft YaHei"/>
        <charset val="134"/>
      </rPr>
      <t>）</t>
    </r>
  </si>
  <si>
    <r>
      <rPr>
        <b/>
        <sz val="14"/>
        <color rgb="FF000000"/>
        <rFont val="Microsoft YaHei"/>
        <charset val="134"/>
      </rPr>
      <t>1元换算各国站点金额（</t>
    </r>
    <r>
      <rPr>
        <b/>
        <sz val="14"/>
        <color rgb="FFFF0000"/>
        <rFont val="Microsoft YaHei"/>
        <charset val="134"/>
      </rPr>
      <t>可根据实时汇率手动进行修改</t>
    </r>
    <r>
      <rPr>
        <b/>
        <sz val="14"/>
        <color rgb="FF000000"/>
        <rFont val="Microsoft YaHei"/>
        <charset val="134"/>
      </rPr>
      <t>）</t>
    </r>
  </si>
  <si>
    <t>国际物流成本价卡（头程费用）</t>
  </si>
  <si>
    <t>站点汇率</t>
  </si>
  <si>
    <r>
      <rPr>
        <b/>
        <sz val="10"/>
        <color rgb="FF000000"/>
        <rFont val="Microsoft YaHei"/>
        <charset val="134"/>
      </rPr>
      <t>汇率公式（</t>
    </r>
    <r>
      <rPr>
        <b/>
        <sz val="10"/>
        <color rgb="FFFF0000"/>
        <rFont val="Microsoft YaHei"/>
        <charset val="134"/>
      </rPr>
      <t>可更改</t>
    </r>
    <r>
      <rPr>
        <b/>
        <sz val="10"/>
        <color rgb="FF000000"/>
        <rFont val="Microsoft YaHei"/>
        <charset val="134"/>
      </rPr>
      <t>）</t>
    </r>
  </si>
  <si>
    <t>站点</t>
  </si>
  <si>
    <t>当地货币计算结果</t>
  </si>
  <si>
    <t>重量(克)</t>
  </si>
  <si>
    <t xml:space="preserve">  首重(当地货币)</t>
  </si>
  <si>
    <t>续重（当地货币）</t>
  </si>
  <si>
    <t>买家尾程运费</t>
  </si>
  <si>
    <t>1人民币=人民币</t>
  </si>
  <si>
    <t>中国=CNY</t>
  </si>
  <si>
    <t>1人民币=美元</t>
  </si>
  <si>
    <t>美国=＄</t>
  </si>
  <si>
    <t>1人民币=越南盾</t>
  </si>
  <si>
    <t>1人民币=泰铢</t>
  </si>
  <si>
    <t>泰国=THB</t>
  </si>
  <si>
    <t>1人民币=马来币</t>
  </si>
  <si>
    <t>马来=MYR</t>
  </si>
  <si>
    <t xml:space="preserve">  </t>
  </si>
  <si>
    <t>1人民币=菲律宾</t>
  </si>
  <si>
    <t>菲律宾=PHP</t>
  </si>
  <si>
    <t>1人民币=新加坡</t>
  </si>
  <si>
    <t>新加坡=SGD</t>
  </si>
  <si>
    <r>
      <rPr>
        <b/>
        <sz val="20"/>
        <color rgb="FF000000"/>
        <rFont val="Microsoft YaHei"/>
        <charset val="134"/>
      </rPr>
      <t>平台费率列表，</t>
    </r>
    <r>
      <rPr>
        <b/>
        <sz val="20"/>
        <color rgb="FFFF0000"/>
        <rFont val="Microsoft YaHei"/>
        <charset val="134"/>
      </rPr>
      <t>下面可修改（泰国关税女装预设30）</t>
    </r>
  </si>
  <si>
    <t>（平台费率TK会更新，请根据类目以TK实际变动进行调整）</t>
  </si>
  <si>
    <r>
      <rPr>
        <b/>
        <sz val="16"/>
        <color rgb="FFFFFFFF"/>
        <rFont val="Microsoft YaHei"/>
        <charset val="134"/>
      </rPr>
      <t>平台费率</t>
    </r>
    <r>
      <rPr>
        <b/>
        <sz val="16"/>
        <color rgb="FFFFFFFF"/>
        <rFont val="Microsoft YaHei"/>
        <charset val="134"/>
      </rPr>
      <t xml:space="preserve">
根据自己类目修改</t>
    </r>
  </si>
  <si>
    <t>越南</t>
  </si>
  <si>
    <t>马来</t>
  </si>
  <si>
    <t>泰国</t>
  </si>
  <si>
    <t>菲律宾</t>
  </si>
  <si>
    <t>新加坡</t>
  </si>
  <si>
    <t>合计</t>
  </si>
  <si>
    <t>平台佣金费率</t>
  </si>
  <si>
    <t>交易手续费率</t>
  </si>
  <si>
    <t>增值税率</t>
  </si>
  <si>
    <t>提现手续费率</t>
  </si>
  <si>
    <t>SFP服务费率</t>
  </si>
  <si>
    <t>达人佣金费率</t>
  </si>
  <si>
    <t>平台基础设施费（泰国）</t>
  </si>
  <si>
    <t>电商增长服务费率（泰国）</t>
  </si>
  <si>
    <t>包邮服务费（菲律宾）</t>
  </si>
  <si>
    <t>消费税率（新加坡）</t>
  </si>
  <si>
    <r>
      <rPr>
        <sz val="11"/>
        <color rgb="FF000000"/>
        <rFont val="Microsoft YaHei"/>
        <charset val="134"/>
      </rPr>
      <t>关税（</t>
    </r>
    <r>
      <rPr>
        <b/>
        <sz val="11"/>
        <color rgb="FFFF0000"/>
        <rFont val="Microsoft YaHei"/>
        <charset val="134"/>
      </rPr>
      <t>泰国</t>
    </r>
    <r>
      <rPr>
        <sz val="11"/>
        <color rgb="FF000000"/>
        <rFont val="Microsoft YaHei"/>
        <charset val="134"/>
      </rPr>
      <t>）</t>
    </r>
  </si>
  <si>
    <r>
      <rPr>
        <sz val="11"/>
        <color rgb="FF000000"/>
        <rFont val="Microsoft YaHei"/>
        <charset val="134"/>
      </rPr>
      <t>关税（</t>
    </r>
    <r>
      <rPr>
        <b/>
        <sz val="11"/>
        <color rgb="FFFF0000"/>
        <rFont val="Microsoft YaHei"/>
        <charset val="134"/>
      </rPr>
      <t>泰国补贴后</t>
    </r>
    <r>
      <rPr>
        <sz val="11"/>
        <color rgb="FF000000"/>
        <rFont val="Microsoft YaHei"/>
        <charset val="134"/>
      </rPr>
      <t>）
填入关税和增值税后自动计算</t>
    </r>
  </si>
  <si>
    <t>以上填入各类费率数值请在后面加上“%”符号</t>
  </si>
  <si>
    <t>跨境物流成本计算工具</t>
  </si>
  <si>
    <t>填入商品重量（克）</t>
  </si>
  <si>
    <t>1. 将产品重量填入上面“商品重量”一栏中 
2. 相应市场的跨境物流成本将自动展示在右侧表格
3. 请注意：此工具计算结果仅做参考，实际订单可能会出现一单多件、汇率换算差额、包裹重量不符的情况，因此会有差异
4. 跨境物流价卡可能会有变动，请注意TK变更通知</t>
  </si>
  <si>
    <t xml:space="preserve"> （当地货币）</t>
  </si>
  <si>
    <t xml:space="preserve"> （人民币）</t>
  </si>
  <si>
    <t>注：以上计算公式都是根据下面汇率金额为基础进行预估计算，可查询资料后手动更新下面“汇率”，“注”(因汇率换算时差、小数精度、等原因，预估结果会有差异) 此工具计算结果仅供参考</t>
  </si>
  <si>
    <t>人民币换算各国站点金额</t>
  </si>
  <si>
    <t>跨境物流成本价卡（头程费用）</t>
  </si>
  <si>
    <t>起重重量(克)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</si>
</sst>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.00"/>
    <numFmt numFmtId="178" formatCode="0.000_ "/>
    <numFmt numFmtId="179" formatCode="[$￥-804]#,##0.00"/>
    <numFmt numFmtId="180" formatCode="[$¥-451]#,##0.00"/>
    <numFmt numFmtId="181" formatCode="[$$-409]#,##0.00_);[Red]\([$$-409]#,##0.00\)"/>
    <numFmt numFmtId="182" formatCode="0_ "/>
  </numFmts>
  <fonts count="55">
    <font>
      <sz val="11"/>
      <color theme="1"/>
      <name val="宋体"/>
      <charset val="134"/>
      <scheme val="minor"/>
    </font>
    <font>
      <sz val="11"/>
      <name val="Microsoft YaHei"/>
      <charset val="134"/>
    </font>
    <font>
      <sz val="18"/>
      <color rgb="FF00A3F5"/>
      <name val="Microsoft YaHei"/>
      <charset val="134"/>
    </font>
    <font>
      <b/>
      <sz val="14"/>
      <color rgb="FF000000"/>
      <name val="Microsoft YaHei"/>
      <charset val="134"/>
    </font>
    <font>
      <sz val="14"/>
      <color theme="1"/>
      <name val="Microsoft YaHei"/>
      <charset val="134"/>
    </font>
    <font>
      <sz val="11"/>
      <name val="SimHei"/>
      <charset val="134"/>
    </font>
    <font>
      <b/>
      <sz val="14"/>
      <name val="Microsoft YaHei"/>
      <charset val="134"/>
    </font>
    <font>
      <sz val="14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1"/>
      <name val="Microsoft YaHei"/>
      <charset val="134"/>
    </font>
    <font>
      <b/>
      <sz val="11"/>
      <color rgb="FFFF0000"/>
      <name val="Microsoft YaHei"/>
      <charset val="134"/>
    </font>
    <font>
      <sz val="10"/>
      <name val="Microsoft YaHei"/>
      <charset val="134"/>
    </font>
    <font>
      <sz val="14"/>
      <name val="Microsoft YaHei"/>
      <charset val="134"/>
    </font>
    <font>
      <b/>
      <sz val="10"/>
      <name val="宋体"/>
      <charset val="134"/>
      <scheme val="minor"/>
    </font>
    <font>
      <b/>
      <sz val="12"/>
      <color rgb="FF00A3F5"/>
      <name val="Microsoft YaHei"/>
      <charset val="134"/>
    </font>
    <font>
      <b/>
      <sz val="12"/>
      <name val="Microsoft YaHei"/>
      <charset val="134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b/>
      <sz val="10"/>
      <name val="Microsoft YaHei"/>
      <charset val="134"/>
    </font>
    <font>
      <b/>
      <sz val="10"/>
      <color rgb="FF000000"/>
      <name val="宋体"/>
      <charset val="134"/>
      <scheme val="minor"/>
    </font>
    <font>
      <b/>
      <sz val="10"/>
      <color theme="1"/>
      <name val="Microsoft YaHei"/>
      <charset val="134"/>
    </font>
    <font>
      <b/>
      <sz val="16"/>
      <name val="Microsoft YaHei"/>
      <charset val="134"/>
    </font>
    <font>
      <b/>
      <sz val="14"/>
      <color rgb="FFFF0000"/>
      <name val="Microsoft YaHei"/>
      <charset val="134"/>
    </font>
    <font>
      <sz val="18"/>
      <name val="Microsoft YaHei"/>
      <charset val="134"/>
    </font>
    <font>
      <sz val="11"/>
      <color theme="1"/>
      <name val="Microsoft YaHei"/>
      <charset val="134"/>
    </font>
    <font>
      <sz val="20"/>
      <color theme="1"/>
      <name val="Microsoft YaHei"/>
      <charset val="134"/>
    </font>
    <font>
      <b/>
      <sz val="12"/>
      <color theme="1"/>
      <name val="Microsoft YaHei"/>
      <charset val="134"/>
    </font>
    <font>
      <b/>
      <sz val="20"/>
      <name val="Microsoft YaHei"/>
      <charset val="134"/>
    </font>
    <font>
      <b/>
      <sz val="16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FF00"/>
      <name val="Microsoft YaHei"/>
      <charset val="134"/>
    </font>
    <font>
      <b/>
      <sz val="10"/>
      <color rgb="FFFF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20"/>
      <color rgb="FF000000"/>
      <name val="Microsoft YaHei"/>
      <charset val="134"/>
    </font>
    <font>
      <b/>
      <sz val="20"/>
      <color rgb="FFFF0000"/>
      <name val="Microsoft YaHe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0" fillId="9" borderId="9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0">
      <alignment vertical="center"/>
    </xf>
    <xf numFmtId="0" fontId="36" fillId="0" borderId="10">
      <alignment vertical="center"/>
    </xf>
    <xf numFmtId="0" fontId="37" fillId="0" borderId="11">
      <alignment vertical="center"/>
    </xf>
    <xf numFmtId="0" fontId="37" fillId="0" borderId="0">
      <alignment vertical="center"/>
    </xf>
    <xf numFmtId="0" fontId="38" fillId="10" borderId="12">
      <alignment vertical="center"/>
    </xf>
    <xf numFmtId="0" fontId="39" fillId="7" borderId="13">
      <alignment vertical="center"/>
    </xf>
    <xf numFmtId="0" fontId="40" fillId="7" borderId="12">
      <alignment vertical="center"/>
    </xf>
    <xf numFmtId="0" fontId="41" fillId="11" borderId="14">
      <alignment vertical="center"/>
    </xf>
    <xf numFmtId="0" fontId="42" fillId="0" borderId="15">
      <alignment vertical="center"/>
    </xf>
    <xf numFmtId="0" fontId="43" fillId="0" borderId="16">
      <alignment vertical="center"/>
    </xf>
    <xf numFmtId="0" fontId="44" fillId="12" borderId="0">
      <alignment vertical="center"/>
    </xf>
    <xf numFmtId="0" fontId="45" fillId="13" borderId="0">
      <alignment vertical="center"/>
    </xf>
    <xf numFmtId="0" fontId="46" fillId="14" borderId="0">
      <alignment vertical="center"/>
    </xf>
    <xf numFmtId="0" fontId="47" fillId="15" borderId="0">
      <alignment vertical="center"/>
    </xf>
    <xf numFmtId="0" fontId="48" fillId="16" borderId="0">
      <alignment vertical="center"/>
    </xf>
    <xf numFmtId="0" fontId="48" fillId="17" borderId="0">
      <alignment vertical="center"/>
    </xf>
    <xf numFmtId="0" fontId="47" fillId="18" borderId="0">
      <alignment vertical="center"/>
    </xf>
    <xf numFmtId="0" fontId="47" fillId="19" borderId="0">
      <alignment vertical="center"/>
    </xf>
    <xf numFmtId="0" fontId="48" fillId="20" borderId="0">
      <alignment vertical="center"/>
    </xf>
    <xf numFmtId="0" fontId="48" fillId="21" borderId="0">
      <alignment vertical="center"/>
    </xf>
    <xf numFmtId="0" fontId="47" fillId="22" borderId="0">
      <alignment vertical="center"/>
    </xf>
    <xf numFmtId="0" fontId="47" fillId="23" borderId="0">
      <alignment vertical="center"/>
    </xf>
    <xf numFmtId="0" fontId="48" fillId="24" borderId="0">
      <alignment vertical="center"/>
    </xf>
    <xf numFmtId="0" fontId="48" fillId="25" borderId="0">
      <alignment vertical="center"/>
    </xf>
    <xf numFmtId="0" fontId="47" fillId="26" borderId="0">
      <alignment vertical="center"/>
    </xf>
    <xf numFmtId="0" fontId="47" fillId="27" borderId="0">
      <alignment vertical="center"/>
    </xf>
    <xf numFmtId="0" fontId="48" fillId="28" borderId="0">
      <alignment vertical="center"/>
    </xf>
    <xf numFmtId="0" fontId="48" fillId="29" borderId="0">
      <alignment vertical="center"/>
    </xf>
    <xf numFmtId="0" fontId="47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8" fillId="33" borderId="0">
      <alignment vertical="center"/>
    </xf>
    <xf numFmtId="0" fontId="47" fillId="34" borderId="0">
      <alignment vertical="center"/>
    </xf>
    <xf numFmtId="0" fontId="47" fillId="35" borderId="0">
      <alignment vertical="center"/>
    </xf>
    <xf numFmtId="0" fontId="48" fillId="36" borderId="0">
      <alignment vertical="center"/>
    </xf>
    <xf numFmtId="0" fontId="48" fillId="37" borderId="0">
      <alignment vertical="center"/>
    </xf>
    <xf numFmtId="0" fontId="47" fillId="38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0" fillId="0" borderId="5" xfId="0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7" fillId="0" borderId="4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10" fillId="4" borderId="5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8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1" fillId="2" borderId="2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0" xfId="0" applyFont="1" applyFill="1">
      <alignment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vertical="top"/>
    </xf>
    <xf numFmtId="0" fontId="19" fillId="5" borderId="1" xfId="0" applyFont="1" applyFill="1" applyBorder="1" applyAlignment="1">
      <alignment horizontal="center" vertical="top" wrapText="1"/>
    </xf>
    <xf numFmtId="0" fontId="20" fillId="5" borderId="7" xfId="0" applyNumberFormat="1" applyFont="1" applyFill="1" applyBorder="1" applyAlignment="1">
      <alignment horizontal="center" vertical="top" wrapText="1"/>
    </xf>
    <xf numFmtId="0" fontId="9" fillId="5" borderId="7" xfId="0" applyNumberFormat="1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0" fontId="21" fillId="5" borderId="7" xfId="0" applyNumberFormat="1" applyFont="1" applyFill="1" applyBorder="1" applyAlignment="1">
      <alignment horizontal="center" vertical="top" wrapText="1"/>
    </xf>
    <xf numFmtId="0" fontId="19" fillId="6" borderId="0" xfId="0" applyFont="1" applyFill="1" applyAlignment="1">
      <alignment vertical="top" wrapText="1"/>
    </xf>
    <xf numFmtId="0" fontId="22" fillId="3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top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0" fontId="23" fillId="0" borderId="1" xfId="0" applyNumberFormat="1" applyFont="1" applyFill="1" applyBorder="1" applyAlignment="1">
      <alignment horizontal="center" vertical="center" wrapText="1"/>
    </xf>
    <xf numFmtId="178" fontId="23" fillId="0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5" fillId="2" borderId="8" xfId="0" applyNumberFormat="1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7" fontId="7" fillId="2" borderId="7" xfId="0" applyNumberFormat="1" applyFont="1" applyFill="1" applyBorder="1" applyAlignment="1">
      <alignment horizontal="center" vertical="center" wrapText="1"/>
    </xf>
    <xf numFmtId="181" fontId="26" fillId="6" borderId="0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5" fillId="7" borderId="4" xfId="0" applyNumberFormat="1" applyFont="1" applyFill="1" applyBorder="1" applyAlignment="1">
      <alignment horizontal="center" vertical="center" wrapText="1"/>
    </xf>
    <xf numFmtId="0" fontId="16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176" fontId="16" fillId="7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5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182" fontId="13" fillId="0" borderId="1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178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费率表"/>
  <dimension ref="A2:AA39"/>
  <sheetViews>
    <sheetView tabSelected="1" zoomScale="130" zoomScaleNormal="130" topLeftCell="A3" workbookViewId="0">
      <selection activeCell="C44" sqref="C44"/>
    </sheetView>
  </sheetViews>
  <sheetFormatPr defaultColWidth="9" defaultRowHeight="16.5"/>
  <cols>
    <col min="1" max="1" width="10.1272727272727" style="3" customWidth="1"/>
    <col min="2" max="2" width="21.9545454545455" style="1" customWidth="1"/>
    <col min="3" max="3" width="18" style="2" customWidth="1"/>
    <col min="4" max="4" width="20.7727272727273" style="2" customWidth="1"/>
    <col min="5" max="5" width="15.5727272727273" style="3" customWidth="1"/>
    <col min="6" max="6" width="16.8" style="3" customWidth="1"/>
    <col min="7" max="7" width="17.2909090909091" style="3" customWidth="1"/>
    <col min="8" max="8" width="20.5" style="3" customWidth="1"/>
    <col min="9" max="9" width="14.4363636363636" style="3" customWidth="1"/>
    <col min="10" max="10" width="20" style="3" customWidth="1"/>
    <col min="11" max="11" width="18.7545454545455" style="3" customWidth="1"/>
    <col min="12" max="12" width="9.69090909090909" style="3" customWidth="1"/>
    <col min="13" max="13" width="20.7727272727273" style="3" customWidth="1"/>
    <col min="14" max="14" width="18.2090909090909" style="3" customWidth="1"/>
    <col min="15" max="15" width="9" style="4"/>
    <col min="16" max="27" width="9" style="3"/>
  </cols>
  <sheetData>
    <row r="2" spans="1:27">
      <c r="B2" s="44" t="s">
        <v>0</v>
      </c>
      <c r="C2" s="45" t="s">
        <v>1</v>
      </c>
      <c r="D2" s="6"/>
      <c r="E2" s="6"/>
      <c r="F2" s="46"/>
      <c r="G2" s="6"/>
      <c r="H2" s="6"/>
      <c r="I2" s="6"/>
      <c r="J2" s="6"/>
      <c r="K2" s="6"/>
      <c r="L2" s="6"/>
      <c r="M2" s="6"/>
    </row>
    <row r="3" ht="29.25" customHeight="1" spans="1:27">
      <c r="A3" s="47" t="s">
        <v>2</v>
      </c>
      <c r="B3" s="48" t="s">
        <v>3</v>
      </c>
      <c r="C3" s="6"/>
      <c r="D3" s="6"/>
      <c r="E3" s="6"/>
      <c r="F3" s="46"/>
      <c r="G3" s="6"/>
      <c r="H3" s="6"/>
      <c r="I3" s="6"/>
      <c r="J3" s="6"/>
      <c r="K3" s="6"/>
      <c r="L3" s="6"/>
      <c r="M3" s="6"/>
    </row>
    <row r="5" s="43" customFormat="1" ht="55.5" customHeight="1" spans="1:27">
      <c r="A5" s="49"/>
      <c r="B5" s="50" t="s">
        <v>4</v>
      </c>
      <c r="C5" s="51" t="s">
        <v>5</v>
      </c>
      <c r="D5" s="51" t="s">
        <v>6</v>
      </c>
      <c r="E5" s="52" t="s">
        <v>7</v>
      </c>
      <c r="F5" s="53" t="s">
        <v>8</v>
      </c>
      <c r="G5" s="52" t="s">
        <v>9</v>
      </c>
      <c r="H5" s="54" t="s">
        <v>10</v>
      </c>
      <c r="I5" s="52" t="s">
        <v>11</v>
      </c>
      <c r="J5" s="52" t="s">
        <v>12</v>
      </c>
      <c r="K5" s="51" t="s">
        <v>13</v>
      </c>
      <c r="L5" s="55"/>
      <c r="M5" s="56" t="s">
        <v>14</v>
      </c>
      <c r="N5" s="49"/>
      <c r="O5" s="57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ht="18.75" customHeight="1" spans="1:27">
      <c r="B6" s="22" t="s">
        <v>15</v>
      </c>
      <c r="C6" s="58" t="s">
        <v>16</v>
      </c>
      <c r="D6" s="17">
        <v>340000</v>
      </c>
      <c r="E6" s="59">
        <v>5</v>
      </c>
      <c r="F6" s="60" t="str">
        <f>IF(TRIM(UPPER(B3))="泰国=THB",E38,"0")</f>
        <v>0</v>
      </c>
      <c r="G6" s="61">
        <f>VLOOKUP(B3,$L:$M,2,FALSE)</f>
        <v>0.29</v>
      </c>
      <c r="H6" s="59">
        <v>400</v>
      </c>
      <c r="I6" s="62">
        <v>2</v>
      </c>
      <c r="J6" s="59">
        <v>0</v>
      </c>
      <c r="K6" s="63">
        <v>0</v>
      </c>
      <c r="L6" s="64"/>
      <c r="M6" s="65">
        <f>D9*E9-F9-G9-H9-I9-J9-K9</f>
        <v>17.64755391899</v>
      </c>
    </row>
    <row r="7" spans="1:27">
      <c r="C7" s="66"/>
      <c r="D7" s="67"/>
      <c r="E7" s="67"/>
      <c r="F7" s="36"/>
      <c r="G7" s="36"/>
      <c r="H7" s="67"/>
      <c r="I7" s="67"/>
      <c r="J7" s="67"/>
      <c r="K7" s="68" t="s">
        <v>15</v>
      </c>
      <c r="L7" s="69"/>
      <c r="M7" s="6"/>
    </row>
    <row r="8" spans="1:27">
      <c r="B8" s="70"/>
      <c r="C8" s="71"/>
      <c r="D8" s="72" t="s">
        <v>17</v>
      </c>
      <c r="E8" s="73" t="s">
        <v>18</v>
      </c>
      <c r="F8" s="74"/>
      <c r="G8" s="74" t="s">
        <v>17</v>
      </c>
      <c r="H8" s="74" t="s">
        <v>17</v>
      </c>
      <c r="I8" s="74" t="s">
        <v>17</v>
      </c>
      <c r="J8" s="74" t="s">
        <v>17</v>
      </c>
      <c r="K8" s="74" t="s">
        <v>17</v>
      </c>
      <c r="L8" s="69"/>
      <c r="M8" s="6"/>
    </row>
    <row r="9" ht="33" spans="1:27">
      <c r="B9" s="1" t="s">
        <v>19</v>
      </c>
      <c r="C9" s="75" t="s">
        <v>20</v>
      </c>
      <c r="D9" s="76">
        <f>D6/VLOOKUP(B3,$C:$D,2,FALSE)</f>
        <v>89.4266175697002</v>
      </c>
      <c r="E9" s="77">
        <f>E6/10</f>
        <v>0.5</v>
      </c>
      <c r="F9" s="78">
        <f>(D9*E9/(1+F6))*F6</f>
        <v>0</v>
      </c>
      <c r="G9" s="78">
        <f>(D9*E9-F9)*G6</f>
        <v>12.9668595476065</v>
      </c>
      <c r="H9" s="78">
        <f>(VLOOKUP(B3,$G:$H,2,FALSE))/VLOOKUP(B3,$C:$D,2,FALSE)</f>
        <v>12.0988953182536</v>
      </c>
      <c r="I9" s="78">
        <f>I6</f>
        <v>2</v>
      </c>
      <c r="J9" s="78">
        <f>J6/VLOOKUP(B3,$C:$D,2,FALSE)</f>
        <v>0</v>
      </c>
      <c r="K9" s="78">
        <f>K6</f>
        <v>0</v>
      </c>
      <c r="L9" s="79"/>
      <c r="M9" s="80" t="s">
        <v>21</v>
      </c>
    </row>
    <row r="10" ht="33" spans="1:27">
      <c r="A10" s="81" t="s">
        <v>15</v>
      </c>
      <c r="B10" s="22"/>
      <c r="C10" s="82" t="s">
        <v>22</v>
      </c>
      <c r="D10" s="83">
        <f>D6</f>
        <v>340000</v>
      </c>
      <c r="E10" s="84">
        <f>D10*E9</f>
        <v>170000</v>
      </c>
      <c r="F10" s="85">
        <f>(D6*E9/(1+F6))*F6</f>
        <v>0</v>
      </c>
      <c r="G10" s="85">
        <f>(D6*E9-F10)*G6</f>
        <v>49300</v>
      </c>
      <c r="H10" s="85">
        <f>(VLOOKUP(B3,$G:$H,2,FALSE))</f>
        <v>46000</v>
      </c>
      <c r="I10" s="85">
        <f>I9*VLOOKUP(B3,$C:$D,2,FALSE)</f>
        <v>7604</v>
      </c>
      <c r="J10" s="85">
        <f>J6</f>
        <v>0</v>
      </c>
      <c r="K10" s="85">
        <f>K9*VLOOKUP(B3,$C:$D,2,FALSE)</f>
        <v>0</v>
      </c>
      <c r="L10" s="86"/>
      <c r="M10" s="87">
        <f>D10*E9-F10-G10-H10-I10-J10-K10</f>
        <v>67096</v>
      </c>
    </row>
    <row r="11" spans="1:27">
      <c r="C11" s="21"/>
      <c r="D11" s="21"/>
    </row>
    <row r="12" spans="1:27">
      <c r="B12" s="88" t="s">
        <v>23</v>
      </c>
      <c r="C12" s="6"/>
      <c r="D12" s="6"/>
      <c r="E12" s="6"/>
      <c r="F12" s="22"/>
      <c r="G12" s="6"/>
      <c r="H12" s="6"/>
      <c r="I12" s="6"/>
      <c r="J12" s="6"/>
      <c r="K12" s="6"/>
      <c r="L12" s="6"/>
      <c r="M12" s="6"/>
    </row>
    <row r="13" spans="1:27">
      <c r="B13" s="6"/>
      <c r="C13" s="6"/>
      <c r="D13" s="6"/>
      <c r="E13" s="6"/>
      <c r="F13" s="22"/>
      <c r="G13" s="6"/>
      <c r="H13" s="6"/>
      <c r="I13" s="6"/>
      <c r="J13" s="6"/>
      <c r="K13" s="6"/>
      <c r="L13" s="6"/>
      <c r="M13" s="6"/>
    </row>
    <row r="14" spans="1:27">
      <c r="B14" s="3"/>
      <c r="C14" s="3"/>
      <c r="D14" s="3"/>
      <c r="J14" s="3" t="s">
        <v>15</v>
      </c>
    </row>
    <row r="15" ht="21.75" customHeight="1" spans="1:27">
      <c r="B15" s="24" t="s">
        <v>24</v>
      </c>
      <c r="C15" s="6"/>
      <c r="D15" s="6"/>
      <c r="G15" s="24" t="s">
        <v>25</v>
      </c>
      <c r="H15" s="6"/>
      <c r="I15" s="6"/>
      <c r="J15" s="6"/>
      <c r="K15" s="6"/>
    </row>
    <row r="16" spans="1:27">
      <c r="A16" s="1"/>
      <c r="B16" s="30" t="s">
        <v>17</v>
      </c>
      <c r="C16" s="89" t="s">
        <v>26</v>
      </c>
      <c r="D16" s="90" t="s">
        <v>27</v>
      </c>
      <c r="E16" s="1"/>
      <c r="G16" s="30" t="s">
        <v>28</v>
      </c>
      <c r="H16" s="30" t="s">
        <v>29</v>
      </c>
      <c r="I16" s="30" t="s">
        <v>30</v>
      </c>
      <c r="J16" s="30" t="s">
        <v>31</v>
      </c>
      <c r="K16" s="30" t="s">
        <v>32</v>
      </c>
      <c r="L16" s="1" t="s">
        <v>33</v>
      </c>
    </row>
    <row r="17" ht="18.75" customHeight="1" spans="1:13">
      <c r="A17" s="1"/>
      <c r="B17" s="31" t="s">
        <v>34</v>
      </c>
      <c r="C17" s="32" t="s">
        <v>35</v>
      </c>
      <c r="D17" s="33">
        <v>1</v>
      </c>
      <c r="E17" s="91"/>
      <c r="F17" s="21"/>
      <c r="G17" s="34"/>
      <c r="H17" s="35"/>
      <c r="I17" s="36"/>
      <c r="J17" s="36"/>
      <c r="K17" s="36"/>
      <c r="L17" s="1"/>
    </row>
    <row r="18" ht="18.75" customHeight="1" spans="1:13">
      <c r="A18" s="1"/>
      <c r="B18" s="31" t="s">
        <v>36</v>
      </c>
      <c r="C18" s="32" t="s">
        <v>37</v>
      </c>
      <c r="D18" s="92">
        <f>(1/7.2)</f>
        <v>0.138888888888889</v>
      </c>
      <c r="E18" s="91"/>
      <c r="F18" s="21"/>
      <c r="G18" s="34"/>
      <c r="H18" s="37"/>
      <c r="I18" s="36"/>
      <c r="J18" s="36"/>
      <c r="K18" s="36"/>
      <c r="L18" s="1"/>
    </row>
    <row r="19" ht="18.75" customHeight="1" spans="1:13">
      <c r="A19" s="1"/>
      <c r="B19" s="31" t="s">
        <v>38</v>
      </c>
      <c r="C19" s="32" t="s">
        <v>3</v>
      </c>
      <c r="D19" s="93">
        <v>3802</v>
      </c>
      <c r="E19" s="91"/>
      <c r="F19" s="21"/>
      <c r="G19" s="34" t="s">
        <v>3</v>
      </c>
      <c r="H19" s="94">
        <f>J19+((H6-I19)/10*K19)</f>
        <v>46000</v>
      </c>
      <c r="I19" s="39">
        <v>10</v>
      </c>
      <c r="J19" s="40">
        <v>10900</v>
      </c>
      <c r="K19" s="40">
        <v>900</v>
      </c>
      <c r="L19" s="1">
        <v>30000</v>
      </c>
    </row>
    <row r="20" ht="18.75" customHeight="1" spans="1:13">
      <c r="A20" s="1"/>
      <c r="B20" s="31" t="s">
        <v>39</v>
      </c>
      <c r="C20" s="32" t="s">
        <v>40</v>
      </c>
      <c r="D20" s="93">
        <v>4.7</v>
      </c>
      <c r="E20" s="91"/>
      <c r="F20" s="21"/>
      <c r="G20" s="34" t="s">
        <v>40</v>
      </c>
      <c r="H20" s="94">
        <f>J20+((H6-I20)/10*K20)</f>
        <v>40</v>
      </c>
      <c r="I20" s="39">
        <v>10</v>
      </c>
      <c r="J20" s="40">
        <v>1</v>
      </c>
      <c r="K20" s="40">
        <v>1</v>
      </c>
      <c r="L20" s="1">
        <v>79</v>
      </c>
    </row>
    <row r="21" ht="18.75" customHeight="1" spans="1:13">
      <c r="A21" s="1"/>
      <c r="B21" s="31" t="s">
        <v>41</v>
      </c>
      <c r="C21" s="41" t="s">
        <v>42</v>
      </c>
      <c r="D21" s="92">
        <f>(1/1.69)</f>
        <v>0.591715976331361</v>
      </c>
      <c r="E21" s="91" t="s">
        <v>43</v>
      </c>
      <c r="F21" s="21"/>
      <c r="G21" s="34" t="s">
        <v>42</v>
      </c>
      <c r="H21" s="94">
        <f>J21+((H6-I21)/10*K21)</f>
        <v>6</v>
      </c>
      <c r="I21" s="39">
        <v>10</v>
      </c>
      <c r="J21" s="40">
        <v>0.15</v>
      </c>
      <c r="K21" s="40">
        <v>0.15</v>
      </c>
      <c r="L21" s="1">
        <v>10</v>
      </c>
    </row>
    <row r="22" ht="18.75" customHeight="1" spans="1:13">
      <c r="A22" s="1"/>
      <c r="B22" s="31" t="s">
        <v>44</v>
      </c>
      <c r="C22" s="32" t="s">
        <v>45</v>
      </c>
      <c r="D22" s="93">
        <v>8.65</v>
      </c>
      <c r="E22" s="91"/>
      <c r="F22" s="21"/>
      <c r="G22" s="34" t="s">
        <v>45</v>
      </c>
      <c r="H22" s="94">
        <f>J22+((H6-I22)/10*K22)</f>
        <v>180</v>
      </c>
      <c r="I22" s="39">
        <v>10</v>
      </c>
      <c r="J22" s="40">
        <v>4.5</v>
      </c>
      <c r="K22" s="40">
        <v>4.5</v>
      </c>
      <c r="L22" s="1">
        <v>40</v>
      </c>
    </row>
    <row r="23" ht="18.75" customHeight="1" spans="1:13">
      <c r="A23" s="1"/>
      <c r="B23" s="31" t="s">
        <v>46</v>
      </c>
      <c r="C23" s="32" t="s">
        <v>47</v>
      </c>
      <c r="D23" s="92">
        <f>(1/5.45)</f>
        <v>0.18348623853211</v>
      </c>
      <c r="E23" s="91"/>
      <c r="F23" s="21"/>
      <c r="G23" s="34" t="s">
        <v>47</v>
      </c>
      <c r="H23" s="94">
        <f>J23+((H6-I23)/10*K23)</f>
        <v>6.38</v>
      </c>
      <c r="I23" s="39">
        <v>40</v>
      </c>
      <c r="J23" s="40">
        <v>0.98</v>
      </c>
      <c r="K23" s="40">
        <v>0.15</v>
      </c>
      <c r="L23" s="1">
        <v>60</v>
      </c>
    </row>
    <row r="24" spans="1:13">
      <c r="A24" s="1"/>
      <c r="C24" s="42"/>
      <c r="D24" s="42"/>
      <c r="E24" s="1"/>
      <c r="F24" s="1"/>
      <c r="G24" s="1"/>
      <c r="H24" s="1"/>
      <c r="I24" s="1"/>
      <c r="J24" s="1"/>
    </row>
    <row r="25" ht="36" customHeight="1" spans="1:13">
      <c r="A25" s="1"/>
      <c r="B25" s="95" t="s">
        <v>48</v>
      </c>
      <c r="C25" s="8"/>
      <c r="D25" s="8"/>
      <c r="E25" s="9"/>
      <c r="F25" s="96"/>
      <c r="G25" s="96" t="s">
        <v>49</v>
      </c>
      <c r="H25" s="6"/>
      <c r="I25" s="6"/>
      <c r="J25" s="6"/>
      <c r="K25" s="6"/>
    </row>
    <row r="26" ht="48" customHeight="1" spans="1:13">
      <c r="B26" s="97" t="s">
        <v>50</v>
      </c>
      <c r="C26" s="98" t="s">
        <v>51</v>
      </c>
      <c r="D26" s="98" t="s">
        <v>52</v>
      </c>
      <c r="E26" s="98" t="s">
        <v>53</v>
      </c>
      <c r="F26" s="98"/>
      <c r="G26" s="98" t="s">
        <v>54</v>
      </c>
      <c r="H26" s="98" t="s">
        <v>55</v>
      </c>
      <c r="I26" s="98"/>
      <c r="J26" s="98"/>
      <c r="K26" s="98"/>
      <c r="L26" s="99" t="s">
        <v>28</v>
      </c>
      <c r="M26" s="100" t="s">
        <v>56</v>
      </c>
    </row>
    <row r="27" ht="15.4" customHeight="1" spans="1:13">
      <c r="B27" s="22" t="s">
        <v>57</v>
      </c>
      <c r="C27" s="101">
        <v>0.13</v>
      </c>
      <c r="D27" s="101">
        <v>0.1458</v>
      </c>
      <c r="E27" s="101">
        <v>0.0856</v>
      </c>
      <c r="F27" s="101"/>
      <c r="G27" s="101">
        <v>0.068</v>
      </c>
      <c r="H27" s="101">
        <v>0.0327</v>
      </c>
      <c r="I27" s="22"/>
      <c r="J27" s="22"/>
      <c r="K27" s="22"/>
      <c r="L27" s="102" t="s">
        <v>3</v>
      </c>
      <c r="M27" s="103">
        <f>(C27+C28+C29+C30+C31+C32+C33+C34+C35+C36)</f>
        <v>0.29</v>
      </c>
    </row>
    <row r="28" ht="15.4" customHeight="1" spans="1:13">
      <c r="B28" s="22" t="s">
        <v>58</v>
      </c>
      <c r="C28" s="104">
        <v>0.05</v>
      </c>
      <c r="D28" s="101">
        <v>0.0378</v>
      </c>
      <c r="E28" s="101">
        <v>0.0321</v>
      </c>
      <c r="F28" s="22"/>
      <c r="G28" s="101">
        <v>0.0224</v>
      </c>
      <c r="H28" s="101">
        <v>0.0218</v>
      </c>
      <c r="I28" s="22"/>
      <c r="J28" s="22"/>
      <c r="K28" s="22"/>
      <c r="L28" s="102" t="s">
        <v>42</v>
      </c>
      <c r="M28" s="103">
        <f>(D27+D28+D29+D30+D31+D32+D33+D34+D35+D36)</f>
        <v>0.2936</v>
      </c>
    </row>
    <row r="29" ht="15.4" customHeight="1" spans="1:13">
      <c r="B29" s="22" t="s">
        <v>59</v>
      </c>
      <c r="C29" s="104">
        <v>0.1</v>
      </c>
      <c r="D29" s="104">
        <v>0.1</v>
      </c>
      <c r="E29" s="104">
        <v>0.07</v>
      </c>
      <c r="F29" s="22"/>
      <c r="G29" s="22"/>
      <c r="H29" s="22"/>
      <c r="I29" s="22"/>
      <c r="J29" s="22"/>
      <c r="K29" s="22"/>
      <c r="L29" s="102" t="s">
        <v>40</v>
      </c>
      <c r="M29" s="103">
        <f>(E27+E28+E30+E31+E32+E33+E34+E35+E36)</f>
        <v>0.1942</v>
      </c>
    </row>
    <row r="30" ht="15.4" customHeight="1" spans="1:13">
      <c r="B30" s="22" t="s">
        <v>60</v>
      </c>
      <c r="C30" s="104">
        <v>0.01</v>
      </c>
      <c r="D30" s="104">
        <v>0.01</v>
      </c>
      <c r="E30" s="104">
        <v>0.01</v>
      </c>
      <c r="F30" s="22"/>
      <c r="G30" s="104">
        <v>0.01</v>
      </c>
      <c r="H30" s="104">
        <v>0.01</v>
      </c>
      <c r="I30" s="22"/>
      <c r="J30" s="22"/>
      <c r="K30" s="22"/>
      <c r="L30" s="102" t="s">
        <v>45</v>
      </c>
      <c r="M30" s="103">
        <f>(G27+G28+G29+G30+G31+G32+G33+G34+G35+G36)</f>
        <v>0.1554</v>
      </c>
    </row>
    <row r="31" ht="29" spans="1:13">
      <c r="B31" s="22" t="s">
        <v>61</v>
      </c>
      <c r="C31" s="22"/>
      <c r="D31" s="101"/>
      <c r="E31" s="101"/>
      <c r="F31" s="22"/>
      <c r="G31" s="22"/>
      <c r="H31" s="22"/>
      <c r="I31" s="22"/>
      <c r="J31" s="22"/>
      <c r="K31" s="22"/>
      <c r="L31" s="102" t="s">
        <v>47</v>
      </c>
      <c r="M31" s="103">
        <f>(H27+H28+H29+H30+H31+H32+H33+H34+H35+H36)</f>
        <v>0.1545</v>
      </c>
    </row>
    <row r="32" spans="1:13">
      <c r="B32" s="22" t="s">
        <v>62</v>
      </c>
      <c r="C32" s="104"/>
      <c r="D32" s="22"/>
      <c r="E32" s="22"/>
      <c r="F32" s="22"/>
      <c r="G32" s="22"/>
      <c r="H32" s="22"/>
      <c r="I32" s="22"/>
      <c r="J32" s="22"/>
      <c r="K32" s="22"/>
    </row>
    <row r="33" spans="2:11">
      <c r="B33" s="22" t="s">
        <v>63</v>
      </c>
      <c r="C33" s="22"/>
      <c r="D33" s="22"/>
      <c r="E33" s="101">
        <v>0.0023</v>
      </c>
      <c r="F33" s="22"/>
      <c r="G33" s="22"/>
      <c r="H33" s="22"/>
      <c r="I33" s="22"/>
      <c r="J33" s="22"/>
      <c r="K33" s="22"/>
    </row>
    <row r="34" spans="2:11">
      <c r="B34" s="22" t="s">
        <v>64</v>
      </c>
      <c r="C34" s="22"/>
      <c r="D34" s="22"/>
      <c r="E34" s="101">
        <v>0.0642</v>
      </c>
      <c r="F34" s="22"/>
      <c r="G34" s="22"/>
      <c r="H34" s="22"/>
      <c r="I34" s="22"/>
      <c r="J34" s="22"/>
      <c r="K34" s="22"/>
    </row>
    <row r="35" spans="2:11">
      <c r="B35" s="22" t="s">
        <v>65</v>
      </c>
      <c r="C35" s="22"/>
      <c r="D35" s="22"/>
      <c r="E35" s="22"/>
      <c r="F35" s="22"/>
      <c r="G35" s="101">
        <v>0.055</v>
      </c>
      <c r="H35" s="22"/>
      <c r="I35" s="22"/>
      <c r="J35" s="22"/>
      <c r="K35" s="22"/>
    </row>
    <row r="36" spans="2:11">
      <c r="B36" s="22" t="s">
        <v>66</v>
      </c>
      <c r="C36" s="22"/>
      <c r="D36" s="22"/>
      <c r="E36" s="22"/>
      <c r="F36" s="22"/>
      <c r="G36" s="22"/>
      <c r="H36" s="104">
        <v>0.09</v>
      </c>
      <c r="I36" s="22"/>
      <c r="J36" s="22"/>
      <c r="K36" s="22"/>
    </row>
    <row r="37" spans="2:11">
      <c r="B37" s="66" t="s">
        <v>67</v>
      </c>
      <c r="C37" s="66"/>
      <c r="D37" s="66"/>
      <c r="E37" s="105">
        <v>0.3</v>
      </c>
      <c r="F37" s="66"/>
      <c r="G37" s="66"/>
      <c r="H37" s="105"/>
      <c r="I37" s="66"/>
      <c r="J37" s="66"/>
      <c r="K37" s="66"/>
    </row>
    <row r="38" ht="49.5" spans="2:11">
      <c r="B38" s="106" t="s">
        <v>68</v>
      </c>
      <c r="C38" s="22"/>
      <c r="D38" s="22"/>
      <c r="E38" s="107">
        <f>(1+E37*0.8)*(1+E29)-1</f>
        <v>0.3268</v>
      </c>
      <c r="F38" s="22"/>
      <c r="G38" s="22"/>
      <c r="H38" s="104"/>
      <c r="I38" s="22"/>
      <c r="J38" s="22"/>
      <c r="K38" s="22"/>
    </row>
    <row r="39" ht="33.75" customHeight="1" spans="2:11">
      <c r="F39" s="3" t="s">
        <v>69</v>
      </c>
    </row>
  </sheetData>
  <mergeCells count="7">
    <mergeCell ref="B15:D15"/>
    <mergeCell ref="G15:K15"/>
    <mergeCell ref="B25:E25"/>
    <mergeCell ref="G25:K25"/>
    <mergeCell ref="M6:M8"/>
    <mergeCell ref="C2:M3"/>
    <mergeCell ref="B12:M13"/>
  </mergeCells>
  <dataValidations count="1">
    <dataValidation type="list" allowBlank="1" showInputMessage="1" showErrorMessage="1" sqref="B3">
      <formula1>"越南=VND,泰国=THB,马来=MYR,菲律宾=PHP,新加坡=SGD,"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跨境物流计算"/>
  <dimension ref="A1:I24"/>
  <sheetViews>
    <sheetView workbookViewId="0">
      <selection activeCell="A1" sqref="A1:D2"/>
    </sheetView>
  </sheetViews>
  <sheetFormatPr defaultColWidth="9" defaultRowHeight="16.5"/>
  <cols>
    <col min="1" max="1" width="21.9545454545455" style="1" customWidth="1"/>
    <col min="2" max="2" width="18" style="2" customWidth="1"/>
    <col min="3" max="3" width="22.9272727272727" style="2" customWidth="1"/>
    <col min="4" max="4" width="17.2909090909091" style="3" customWidth="1"/>
    <col min="5" max="5" width="22.3181818181818" style="3" customWidth="1"/>
    <col min="6" max="6" width="14.4363636363636" style="3" customWidth="1"/>
    <col min="7" max="7" width="20" style="3" customWidth="1"/>
    <col min="8" max="8" width="18.7545454545455" style="3" customWidth="1"/>
    <col min="9" max="9" width="20.7727272727273" style="3" customWidth="1"/>
    <col min="10" max="10" width="18.2090909090909" style="3" customWidth="1"/>
    <col min="11" max="11" width="9" style="4"/>
    <col min="12" max="23" width="9" style="3"/>
  </cols>
  <sheetData>
    <row r="1" ht="52.5" customHeight="1" spans="1:9">
      <c r="A1" s="5" t="s">
        <v>70</v>
      </c>
      <c r="B1" s="6"/>
      <c r="C1" s="6"/>
      <c r="D1" s="6"/>
      <c r="E1" s="7" t="s">
        <v>71</v>
      </c>
      <c r="F1" s="8"/>
      <c r="G1" s="8"/>
      <c r="H1" s="8"/>
      <c r="I1" s="9"/>
    </row>
    <row r="2" ht="18.75" customHeight="1" spans="1:9">
      <c r="A2" s="6"/>
      <c r="B2" s="6"/>
      <c r="C2" s="6"/>
      <c r="D2" s="6"/>
      <c r="E2" s="10">
        <v>400</v>
      </c>
      <c r="F2" s="8"/>
      <c r="G2" s="8"/>
      <c r="H2" s="8"/>
      <c r="I2" s="9"/>
    </row>
    <row r="3" ht="18.75" customHeight="1" spans="1:9">
      <c r="A3" s="5"/>
      <c r="B3" s="6"/>
      <c r="C3" s="6"/>
      <c r="D3" s="6"/>
      <c r="E3" s="6"/>
      <c r="F3" s="6"/>
      <c r="G3" s="6"/>
      <c r="H3" s="6"/>
      <c r="I3" s="6"/>
    </row>
    <row r="4" ht="18.75" customHeight="1" spans="1:9">
      <c r="A4" s="11" t="s">
        <v>72</v>
      </c>
      <c r="B4" s="12"/>
      <c r="C4" s="12"/>
      <c r="D4" s="12"/>
      <c r="E4" s="13" t="s">
        <v>73</v>
      </c>
      <c r="F4" s="12"/>
      <c r="G4" s="12"/>
      <c r="H4" s="12"/>
      <c r="I4" s="12"/>
    </row>
    <row r="5" ht="18.75" customHeight="1" spans="1:9">
      <c r="A5" s="6"/>
      <c r="B5" s="6"/>
      <c r="C5" s="6"/>
      <c r="D5" s="6"/>
      <c r="E5" s="14" t="s">
        <v>40</v>
      </c>
      <c r="F5" s="15" t="s">
        <v>3</v>
      </c>
      <c r="G5" s="15" t="s">
        <v>42</v>
      </c>
      <c r="H5" s="15" t="s">
        <v>45</v>
      </c>
      <c r="I5" s="15" t="s">
        <v>47</v>
      </c>
    </row>
    <row r="6" ht="18.75" customHeight="1" spans="1:9">
      <c r="A6" s="6"/>
      <c r="B6" s="6"/>
      <c r="C6" s="6"/>
      <c r="D6" s="6"/>
      <c r="E6" s="16">
        <f>E20</f>
        <v>40</v>
      </c>
      <c r="F6" s="17">
        <f>E19</f>
        <v>46000</v>
      </c>
      <c r="G6" s="17">
        <f>E21</f>
        <v>6</v>
      </c>
      <c r="H6" s="17">
        <f>E22</f>
        <v>180</v>
      </c>
      <c r="I6" s="17">
        <f>E23</f>
        <v>6.38</v>
      </c>
    </row>
    <row r="7" ht="19" spans="1:9">
      <c r="A7" s="6"/>
      <c r="B7" s="6"/>
      <c r="C7" s="6"/>
      <c r="D7" s="6"/>
      <c r="E7" s="16"/>
      <c r="F7" s="17"/>
      <c r="G7" s="17"/>
      <c r="H7" s="17"/>
      <c r="I7" s="17"/>
    </row>
    <row r="8" ht="18.75" customHeight="1" spans="1:9">
      <c r="A8" s="6"/>
      <c r="B8" s="6"/>
      <c r="C8" s="6"/>
      <c r="D8" s="6"/>
      <c r="E8" s="18" t="s">
        <v>74</v>
      </c>
      <c r="F8" s="6"/>
      <c r="G8" s="6"/>
      <c r="H8" s="6"/>
      <c r="I8" s="6"/>
    </row>
    <row r="9" ht="18.75" customHeight="1" spans="1:9">
      <c r="A9" s="6"/>
      <c r="B9" s="6"/>
      <c r="C9" s="6"/>
      <c r="D9" s="6"/>
      <c r="E9" s="14" t="s">
        <v>40</v>
      </c>
      <c r="F9" s="15" t="s">
        <v>3</v>
      </c>
      <c r="G9" s="15" t="s">
        <v>42</v>
      </c>
      <c r="H9" s="15" t="s">
        <v>45</v>
      </c>
      <c r="I9" s="15" t="s">
        <v>47</v>
      </c>
    </row>
    <row r="10" ht="18.75" customHeight="1" spans="1:9">
      <c r="A10" s="6"/>
      <c r="B10" s="6"/>
      <c r="C10" s="6"/>
      <c r="D10" s="6"/>
      <c r="E10" s="19">
        <f>(VLOOKUP(E9,$D:$E,2,FALSE))/VLOOKUP(E9,$B:$C,2,FALSE)</f>
        <v>8.51063829787234</v>
      </c>
      <c r="F10" s="20">
        <f>(VLOOKUP(F9,$D:$E,2,FALSE))/VLOOKUP(F9,$B:$C,2,FALSE)</f>
        <v>12.0988953182536</v>
      </c>
      <c r="G10" s="20">
        <f>(VLOOKUP(G9,$D:$E,2,FALSE))/VLOOKUP(G9,$B:$C,2,FALSE)</f>
        <v>10.14</v>
      </c>
      <c r="H10" s="20">
        <f>(VLOOKUP(H9,$D:$E,2,FALSE))/VLOOKUP(H9,$B:$C,2,FALSE)</f>
        <v>20.8092485549133</v>
      </c>
      <c r="I10" s="20">
        <f>(VLOOKUP(I9,$D:$E,2,FALSE))/VLOOKUP(I9,$B:$C,2,FALSE)</f>
        <v>34.771</v>
      </c>
    </row>
    <row r="11" spans="1:9">
      <c r="B11" s="21"/>
      <c r="C11" s="21"/>
    </row>
    <row r="12" spans="1:9">
      <c r="A12" s="22" t="s">
        <v>75</v>
      </c>
      <c r="B12" s="6"/>
      <c r="C12" s="6"/>
      <c r="D12" s="6"/>
      <c r="E12" s="6"/>
      <c r="F12" s="6"/>
      <c r="G12" s="6"/>
      <c r="H12" s="6"/>
      <c r="I12" s="6"/>
    </row>
    <row r="13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3"/>
      <c r="B14" s="3"/>
      <c r="C14" s="3"/>
      <c r="G14" s="3" t="s">
        <v>15</v>
      </c>
    </row>
    <row r="15" ht="21.75" customHeight="1" spans="1:9">
      <c r="A15" s="23" t="s">
        <v>76</v>
      </c>
      <c r="B15" s="6"/>
      <c r="C15" s="6"/>
      <c r="D15" s="24" t="s">
        <v>77</v>
      </c>
      <c r="E15" s="6"/>
      <c r="F15" s="6"/>
      <c r="G15" s="6"/>
      <c r="H15" s="6"/>
    </row>
    <row r="16" spans="1:9">
      <c r="A16" s="25" t="s">
        <v>17</v>
      </c>
      <c r="B16" s="26" t="s">
        <v>26</v>
      </c>
      <c r="C16" s="27" t="s">
        <v>27</v>
      </c>
      <c r="D16" s="28" t="s">
        <v>28</v>
      </c>
      <c r="E16" s="29" t="s">
        <v>29</v>
      </c>
      <c r="F16" s="30" t="s">
        <v>78</v>
      </c>
      <c r="G16" s="30" t="s">
        <v>31</v>
      </c>
      <c r="H16" s="30" t="s">
        <v>32</v>
      </c>
    </row>
    <row r="17" ht="18.75" customHeight="1" spans="1:8">
      <c r="A17" s="31" t="s">
        <v>34</v>
      </c>
      <c r="B17" s="32" t="s">
        <v>35</v>
      </c>
      <c r="C17" s="33">
        <f>费率表!D17</f>
        <v>1</v>
      </c>
      <c r="D17" s="34"/>
      <c r="E17" s="35"/>
      <c r="F17" s="36"/>
      <c r="G17" s="36"/>
      <c r="H17" s="36"/>
    </row>
    <row r="18" ht="18.75" customHeight="1" spans="1:8">
      <c r="A18" s="31" t="s">
        <v>36</v>
      </c>
      <c r="B18" s="32" t="s">
        <v>37</v>
      </c>
      <c r="C18" s="33">
        <f>费率表!D18</f>
        <v>0.138888888888889</v>
      </c>
      <c r="D18" s="34"/>
      <c r="E18" s="37"/>
      <c r="F18" s="36"/>
      <c r="G18" s="36"/>
      <c r="H18" s="36"/>
    </row>
    <row r="19" ht="18.75" customHeight="1" spans="1:8">
      <c r="A19" s="31" t="s">
        <v>38</v>
      </c>
      <c r="B19" s="32" t="s">
        <v>3</v>
      </c>
      <c r="C19" s="33">
        <f>费率表!D19</f>
        <v>3802</v>
      </c>
      <c r="D19" s="34" t="s">
        <v>3</v>
      </c>
      <c r="E19" s="38">
        <f>G19+((E2-F19)/10*H19)</f>
        <v>46000</v>
      </c>
      <c r="F19" s="39">
        <v>10</v>
      </c>
      <c r="G19" s="40">
        <v>10900</v>
      </c>
      <c r="H19" s="40">
        <v>900</v>
      </c>
    </row>
    <row r="20" ht="18.75" customHeight="1" spans="1:8">
      <c r="A20" s="31" t="s">
        <v>39</v>
      </c>
      <c r="B20" s="32" t="s">
        <v>40</v>
      </c>
      <c r="C20" s="33">
        <f>费率表!D20</f>
        <v>4.7</v>
      </c>
      <c r="D20" s="34" t="s">
        <v>40</v>
      </c>
      <c r="E20" s="38">
        <f>G20+((E2-F20)/10*H20)</f>
        <v>40</v>
      </c>
      <c r="F20" s="39">
        <v>10</v>
      </c>
      <c r="G20" s="40">
        <v>1</v>
      </c>
      <c r="H20" s="40">
        <v>1</v>
      </c>
    </row>
    <row r="21" ht="18.75" customHeight="1" spans="1:8">
      <c r="A21" s="31" t="s">
        <v>41</v>
      </c>
      <c r="B21" s="41" t="s">
        <v>42</v>
      </c>
      <c r="C21" s="33">
        <f>费率表!D21</f>
        <v>0.591715976331361</v>
      </c>
      <c r="D21" s="34" t="s">
        <v>42</v>
      </c>
      <c r="E21" s="38">
        <f>G21+((E2-F21)/10*H21)</f>
        <v>6</v>
      </c>
      <c r="F21" s="39">
        <v>10</v>
      </c>
      <c r="G21" s="40">
        <v>0.15</v>
      </c>
      <c r="H21" s="40">
        <v>0.15</v>
      </c>
    </row>
    <row r="22" ht="18.75" customHeight="1" spans="1:8">
      <c r="A22" s="31" t="s">
        <v>44</v>
      </c>
      <c r="B22" s="32" t="s">
        <v>45</v>
      </c>
      <c r="C22" s="33">
        <f>费率表!D22</f>
        <v>8.65</v>
      </c>
      <c r="D22" s="34" t="s">
        <v>45</v>
      </c>
      <c r="E22" s="38">
        <f>G22+((E2-F22)/10*H22)</f>
        <v>180</v>
      </c>
      <c r="F22" s="39">
        <v>10</v>
      </c>
      <c r="G22" s="40">
        <v>4.5</v>
      </c>
      <c r="H22" s="40">
        <v>4.5</v>
      </c>
    </row>
    <row r="23" ht="18.75" customHeight="1" spans="1:8">
      <c r="A23" s="31" t="s">
        <v>46</v>
      </c>
      <c r="B23" s="32" t="s">
        <v>47</v>
      </c>
      <c r="C23" s="33">
        <f>费率表!D23</f>
        <v>0.18348623853211</v>
      </c>
      <c r="D23" s="34" t="s">
        <v>47</v>
      </c>
      <c r="E23" s="38">
        <f>G23+((E2-F23)/10*H23)</f>
        <v>6.38</v>
      </c>
      <c r="F23" s="39">
        <v>40</v>
      </c>
      <c r="G23" s="40">
        <v>0.98</v>
      </c>
      <c r="H23" s="40">
        <v>0.15</v>
      </c>
    </row>
    <row r="24" spans="1:8">
      <c r="B24" s="42"/>
      <c r="C24" s="42"/>
      <c r="D24" s="1"/>
      <c r="E24" s="1"/>
      <c r="F24" s="1"/>
      <c r="G24" s="1"/>
    </row>
  </sheetData>
  <mergeCells count="10">
    <mergeCell ref="E1:I1"/>
    <mergeCell ref="E2:I2"/>
    <mergeCell ref="A3:I3"/>
    <mergeCell ref="E4:I4"/>
    <mergeCell ref="E8:I8"/>
    <mergeCell ref="A15:C15"/>
    <mergeCell ref="D15:H15"/>
    <mergeCell ref="A12:I13"/>
    <mergeCell ref="A4:D10"/>
    <mergeCell ref="A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费率表</vt:lpstr>
      <vt:lpstr>跨境物流计算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lichen</cp:lastModifiedBy>
  <dcterms:created xsi:type="dcterms:W3CDTF">2026-03-17T10:50:00Z</dcterms:created>
  <dcterms:modified xsi:type="dcterms:W3CDTF">2026-04-28T08:17:04Z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235C5F4860854A949B308DED3482F7A8_12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